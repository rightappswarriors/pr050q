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ie\Documents\"/>
    </mc:Choice>
  </mc:AlternateContent>
  <xr:revisionPtr revIDLastSave="0" documentId="13_ncr:1_{6B3DC1B1-F9BF-4040-8AAC-D5BEEB8A7CD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67" i="1" l="1"/>
  <c r="T44" i="1"/>
  <c r="M34" i="1"/>
  <c r="J66" i="1"/>
  <c r="J65" i="1"/>
  <c r="S66" i="1"/>
  <c r="H67" i="1"/>
  <c r="I67" i="1"/>
  <c r="L44" i="1"/>
  <c r="M44" i="1"/>
  <c r="N44" i="1"/>
  <c r="G62" i="1"/>
  <c r="I62" i="1"/>
  <c r="J62" i="1"/>
  <c r="K62" i="1"/>
  <c r="L62" i="1"/>
  <c r="M62" i="1"/>
  <c r="N62" i="1"/>
  <c r="P62" i="1"/>
  <c r="Q62" i="1"/>
  <c r="R62" i="1"/>
  <c r="S62" i="1"/>
  <c r="G44" i="1"/>
  <c r="J56" i="1"/>
  <c r="K56" i="1"/>
  <c r="L56" i="1"/>
  <c r="M56" i="1"/>
  <c r="N56" i="1"/>
  <c r="O56" i="1"/>
  <c r="O60" i="1"/>
  <c r="O62" i="1" s="1"/>
  <c r="T61" i="1"/>
  <c r="T60" i="1"/>
  <c r="T62" i="1" s="1"/>
  <c r="I55" i="1"/>
  <c r="I54" i="1"/>
  <c r="J51" i="1"/>
  <c r="K51" i="1"/>
  <c r="L51" i="1"/>
  <c r="M51" i="1"/>
  <c r="N51" i="1"/>
  <c r="I50" i="1"/>
  <c r="I51" i="1" s="1"/>
  <c r="O44" i="1"/>
  <c r="O51" i="1" s="1"/>
  <c r="P44" i="1"/>
  <c r="Q44" i="1"/>
  <c r="R44" i="1"/>
  <c r="S44" i="1"/>
  <c r="T43" i="1"/>
  <c r="T42" i="1"/>
  <c r="G34" i="1"/>
  <c r="J34" i="1"/>
  <c r="K34" i="1"/>
  <c r="L34" i="1"/>
  <c r="N34" i="1"/>
  <c r="O34" i="1"/>
  <c r="U4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5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INCLUDES DP LESS + MA LESS REBATE
</t>
        </r>
      </text>
    </comment>
    <comment ref="G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INCLUDES NEW ACCTS LAST MONTH IF ANY</t>
        </r>
      </text>
    </comment>
  </commentList>
</comments>
</file>

<file path=xl/sharedStrings.xml><?xml version="1.0" encoding="utf-8"?>
<sst xmlns="http://schemas.openxmlformats.org/spreadsheetml/2006/main" count="114" uniqueCount="81">
  <si>
    <t>COLLECTION EFFICIENCY COMPUTATION:</t>
  </si>
  <si>
    <t>EXPECTED COLLECTION</t>
  </si>
  <si>
    <t>COLLEFF</t>
  </si>
  <si>
    <t>ACTUAL COLLECTION</t>
  </si>
  <si>
    <t>SOURCE:</t>
  </si>
  <si>
    <t>AGING OF RECEIVABLES</t>
  </si>
  <si>
    <t>1) NEW ACCOUNTS</t>
  </si>
  <si>
    <t>NEW ACCOUNTS FOR THE MONTH</t>
  </si>
  <si>
    <t>2) FULLY PAID ACCOUNTS</t>
  </si>
  <si>
    <t xml:space="preserve"> FULLY PAID THRU NORMAL INSTALLMENT PAYMENTS</t>
  </si>
  <si>
    <t>FULLY PAID THRU ACCELERATION OF ACCOUNTS</t>
  </si>
  <si>
    <t>3) CURRENT ACCOUNTS</t>
  </si>
  <si>
    <t xml:space="preserve">     &amp; ADVANCE PAYOERS</t>
  </si>
  <si>
    <t xml:space="preserve"> THESE ARE THE UPDATED ACCOUNTS AND WITH ADVANCE PAYMENTS</t>
  </si>
  <si>
    <t xml:space="preserve">4) OVERDUE ACCOUNTS </t>
  </si>
  <si>
    <t>ACCOUNTS THAT ARE LAPSE ON THEIR MONTHLY PAYMENTS</t>
  </si>
  <si>
    <t xml:space="preserve"> 1-30</t>
  </si>
  <si>
    <t>1 MONTH OVERDUE</t>
  </si>
  <si>
    <t>31-60</t>
  </si>
  <si>
    <t>2 MONTHS</t>
  </si>
  <si>
    <t>61-90</t>
  </si>
  <si>
    <t>3 MONTHS</t>
  </si>
  <si>
    <t>91 UP</t>
  </si>
  <si>
    <t>OVER 3 MOS LAPSE</t>
  </si>
  <si>
    <t>NEW ACCOUNTS</t>
  </si>
  <si>
    <t>DUE NEXT MONTH</t>
  </si>
  <si>
    <t>CURRENT ACCOUNTS</t>
  </si>
  <si>
    <t>OVERDUE ACCOUNTS</t>
  </si>
  <si>
    <t xml:space="preserve">                 BASED ON THIS MONTH AGING</t>
  </si>
  <si>
    <t xml:space="preserve">                BASED ON PREVIOUS MONTHS AGING.</t>
  </si>
  <si>
    <r>
      <rPr>
        <b/>
        <sz val="11"/>
        <color rgb="FFFF0000"/>
        <rFont val="Calibri"/>
        <family val="2"/>
        <scheme val="minor"/>
      </rPr>
      <t>2) EXPECTED COLLECTIONS</t>
    </r>
    <r>
      <rPr>
        <sz val="11"/>
        <color theme="1"/>
        <rFont val="Calibri"/>
        <family val="2"/>
        <scheme val="minor"/>
      </rPr>
      <t xml:space="preserve"> REFERS TO EXPECTED TO BE COLLECTED NEXT MONTH :</t>
    </r>
  </si>
  <si>
    <r>
      <t xml:space="preserve"> 1</t>
    </r>
    <r>
      <rPr>
        <b/>
        <sz val="11"/>
        <color theme="1"/>
        <rFont val="Calibri"/>
        <family val="2"/>
        <scheme val="minor"/>
      </rPr>
      <t xml:space="preserve">) </t>
    </r>
    <r>
      <rPr>
        <b/>
        <sz val="11"/>
        <color rgb="FFFF0000"/>
        <rFont val="Calibri"/>
        <family val="2"/>
        <scheme val="minor"/>
      </rPr>
      <t xml:space="preserve">ACTUAL COLLECTION </t>
    </r>
    <r>
      <rPr>
        <sz val="11"/>
        <color theme="1"/>
        <rFont val="Calibri"/>
        <family val="2"/>
        <scheme val="minor"/>
      </rPr>
      <t xml:space="preserve">REFERS TO </t>
    </r>
    <r>
      <rPr>
        <b/>
        <sz val="11"/>
        <color rgb="FFFF0000"/>
        <rFont val="Calibri"/>
        <family val="2"/>
        <scheme val="minor"/>
      </rPr>
      <t>CURRENT AND OVERDUE COLLECTIONS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FOR THE MONTH</t>
    </r>
  </si>
  <si>
    <t>TOD -TOTAL OVERDUE (TOTAL 1-91 DAYS UP)</t>
  </si>
  <si>
    <t>TOD</t>
  </si>
  <si>
    <t>SAMPLE AGING:</t>
  </si>
  <si>
    <t xml:space="preserve"> NOV. 2022</t>
  </si>
  <si>
    <t>NAME</t>
  </si>
  <si>
    <t>CURRENT</t>
  </si>
  <si>
    <t>ADVANCE</t>
  </si>
  <si>
    <t>OVERDUE</t>
  </si>
  <si>
    <t>DNM</t>
  </si>
  <si>
    <t>(DNM)</t>
  </si>
  <si>
    <t>DSNM</t>
  </si>
  <si>
    <t>DUE SUCCEDDING NEXT MONTH</t>
  </si>
  <si>
    <t>OB</t>
  </si>
  <si>
    <t>OR#/DATE</t>
  </si>
  <si>
    <t>MA</t>
  </si>
  <si>
    <t>BEHENIO,L.</t>
  </si>
  <si>
    <t xml:space="preserve">1)CURRENT ACCOUNTS </t>
  </si>
  <si>
    <t>2)FULLY PAID ACCOUNTS:</t>
  </si>
  <si>
    <t>3) OVERDUE ACCONTS:</t>
  </si>
  <si>
    <t>1) REBONZA, J.</t>
  </si>
  <si>
    <t xml:space="preserve"> COLLECTIONS</t>
  </si>
  <si>
    <t>DD</t>
  </si>
  <si>
    <t>TERM</t>
  </si>
  <si>
    <t>PPD</t>
  </si>
  <si>
    <t>PROMPT PAYMENT DISC</t>
  </si>
  <si>
    <t>AMA</t>
  </si>
  <si>
    <t>ACCUMULATED</t>
  </si>
  <si>
    <t xml:space="preserve">       MA</t>
  </si>
  <si>
    <t>DP</t>
  </si>
  <si>
    <t>PAYSUM</t>
  </si>
  <si>
    <t>ATOC, J</t>
  </si>
  <si>
    <t>BEHENO, L.</t>
  </si>
  <si>
    <t xml:space="preserve"> 31-60</t>
  </si>
  <si>
    <t xml:space="preserve"> 61-90</t>
  </si>
  <si>
    <t xml:space="preserve"> 91.UP</t>
  </si>
  <si>
    <t>TTL OD</t>
  </si>
  <si>
    <t>2)SOSA, M</t>
  </si>
  <si>
    <t>AGING AS OF DEC. 31, 2022</t>
  </si>
  <si>
    <t xml:space="preserve">     1) GABAYERON, J.</t>
  </si>
  <si>
    <t xml:space="preserve">       2) MARINAS, A.</t>
  </si>
  <si>
    <t>2)CURRENT ACCOUNTS:</t>
  </si>
  <si>
    <t>EXPECTED</t>
  </si>
  <si>
    <t>ACTUAL</t>
  </si>
  <si>
    <t>EXPECTED NEXT MONTH</t>
  </si>
  <si>
    <t>EXPECTED OVERDUE</t>
  </si>
  <si>
    <t xml:space="preserve">COUNTERCHECKING IF CORRECT </t>
  </si>
  <si>
    <t>EXPECTED LAST MONTH LESS ACTUAL COLLN = TOTAL OVERDUE THIS MONTH</t>
  </si>
  <si>
    <t>TTL COLLEFF</t>
  </si>
  <si>
    <t>COLLEFF FOR THE MONTH OF DECEMBER 31,2022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</si>
</sst>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" fontId="0" fillId="0" borderId="0" xfId="0" applyNumberFormat="1"/>
    <xf numFmtId="0" fontId="2" fillId="0" borderId="1" xfId="0" applyFont="1" applyBorder="1"/>
    <xf numFmtId="0" fontId="3" fillId="0" borderId="0" xfId="0" applyFont="1" applyAlignment="1">
      <alignment horizontal="center"/>
    </xf>
    <xf numFmtId="165" fontId="0" fillId="0" borderId="0" xfId="1" applyNumberFormat="1" applyFont="1"/>
    <xf numFmtId="0" fontId="2" fillId="0" borderId="0" xfId="0" applyFont="1"/>
    <xf numFmtId="0" fontId="0" fillId="0" borderId="2" xfId="0" applyBorder="1"/>
    <xf numFmtId="165" fontId="0" fillId="0" borderId="0" xfId="0" applyNumberFormat="1"/>
    <xf numFmtId="165" fontId="0" fillId="0" borderId="2" xfId="0" applyNumberFormat="1" applyBorder="1"/>
    <xf numFmtId="0" fontId="2" fillId="0" borderId="2" xfId="0" applyFont="1" applyBorder="1"/>
    <xf numFmtId="165" fontId="0" fillId="0" borderId="2" xfId="1" applyNumberFormat="1" applyFont="1" applyBorder="1"/>
    <xf numFmtId="0" fontId="3" fillId="0" borderId="2" xfId="0" applyFont="1" applyBorder="1" applyAlignment="1">
      <alignment horizontal="center"/>
    </xf>
    <xf numFmtId="17" fontId="0" fillId="2" borderId="0" xfId="0" applyNumberFormat="1" applyFill="1"/>
    <xf numFmtId="0" fontId="0" fillId="3" borderId="0" xfId="0" applyFill="1"/>
    <xf numFmtId="165" fontId="2" fillId="0" borderId="2" xfId="1" applyNumberFormat="1" applyFont="1" applyBorder="1"/>
    <xf numFmtId="165" fontId="0" fillId="3" borderId="2" xfId="0" applyNumberFormat="1" applyFill="1" applyBorder="1"/>
    <xf numFmtId="165" fontId="0" fillId="4" borderId="2" xfId="0" applyNumberFormat="1" applyFill="1" applyBorder="1"/>
    <xf numFmtId="165" fontId="0" fillId="4" borderId="0" xfId="0" applyNumberFormat="1" applyFill="1"/>
    <xf numFmtId="9" fontId="0" fillId="0" borderId="0" xfId="2" applyFont="1"/>
    <xf numFmtId="0" fontId="0" fillId="4" borderId="0" xfId="0" applyFill="1"/>
    <xf numFmtId="9" fontId="0" fillId="4" borderId="2" xfId="2" applyFont="1" applyFill="1" applyBorder="1"/>
    <xf numFmtId="0" fontId="0" fillId="3" borderId="0" xfId="0" applyFill="1" applyAlignment="1">
      <alignment horizontal="center"/>
    </xf>
    <xf numFmtId="165" fontId="2" fillId="0" borderId="0" xfId="1" applyNumberFormat="1" applyFont="1"/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1466850</xdr:colOff>
      <xdr:row>9</xdr:row>
      <xdr:rowOff>95250</xdr:rowOff>
    </xdr:from>
    <xdr:to>
      <xdr:col>2</xdr:col>
      <xdr:colOff>38100</xdr:colOff>
      <xdr:row>11</xdr:row>
      <xdr:rowOff>9525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47950" y="1809750"/>
          <a:ext cx="114300" cy="2952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304800</xdr:colOff>
      <xdr:row>27</xdr:row>
      <xdr:rowOff>123825</xdr:rowOff>
    </xdr:from>
    <xdr:to>
      <xdr:col>5</xdr:col>
      <xdr:colOff>314325</xdr:colOff>
      <xdr:row>28</xdr:row>
      <xdr:rowOff>161925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rot="16200000" flipV="1">
          <a:off x="4205288" y="5376862"/>
          <a:ext cx="2286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28</xdr:row>
      <xdr:rowOff>19051</xdr:rowOff>
    </xdr:from>
    <xdr:to>
      <xdr:col>7</xdr:col>
      <xdr:colOff>390525</xdr:colOff>
      <xdr:row>29</xdr:row>
      <xdr:rowOff>161926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rot="5400000" flipH="1" flipV="1">
          <a:off x="5495925" y="5505451"/>
          <a:ext cx="333375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361950</xdr:colOff>
      <xdr:row>44</xdr:row>
      <xdr:rowOff>19051</xdr:rowOff>
    </xdr:from>
    <xdr:to>
      <xdr:col>7</xdr:col>
      <xdr:colOff>390525</xdr:colOff>
      <xdr:row>45</xdr:row>
      <xdr:rowOff>161926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rot="5400000" flipH="1" flipV="1">
          <a:off x="6143625" y="5505451"/>
          <a:ext cx="333375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352425</xdr:colOff>
      <xdr:row>28</xdr:row>
      <xdr:rowOff>9525</xdr:rowOff>
    </xdr:from>
    <xdr:to>
      <xdr:col>12</xdr:col>
      <xdr:colOff>361950</xdr:colOff>
      <xdr:row>29</xdr:row>
      <xdr:rowOff>161925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rot="16200000" flipV="1">
          <a:off x="9539288" y="5510212"/>
          <a:ext cx="34290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285751</xdr:colOff>
      <xdr:row>34</xdr:row>
      <xdr:rowOff>95250</xdr:rowOff>
    </xdr:from>
    <xdr:to>
      <xdr:col>20</xdr:col>
      <xdr:colOff>314326</xdr:colOff>
      <xdr:row>42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rot="16200000" flipV="1">
          <a:off x="14030326" y="7343775"/>
          <a:ext cx="1571625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"/>
  <sheetViews>
    <sheetView tabSelected="1" topLeftCell="A41" zoomScale="62" zoomScaleNormal="62" workbookViewId="0">
      <selection activeCell="J67" sqref="J67"/>
    </sheetView>
  </sheetViews>
  <sheetFormatPr defaultRowHeight="14.5" x14ac:dyDescent="0.35"/>
  <cols>
    <col min="1" max="1" width="17.7265625" customWidth="1"/>
    <col min="2" max="2" width="23.1796875" customWidth="1"/>
    <col min="3" max="3" width="9.7265625" bestFit="1" customWidth="1"/>
    <col min="4" max="4" width="9.54296875" bestFit="1" customWidth="1"/>
    <col min="5" max="5" width="9.7265625" customWidth="1"/>
    <col min="6" max="6" width="9.54296875" bestFit="1" customWidth="1"/>
    <col min="7" max="7" width="12" customWidth="1"/>
    <col min="8" max="9" width="11" customWidth="1"/>
    <col min="10" max="10" width="10.54296875" bestFit="1" customWidth="1"/>
    <col min="12" max="14" width="9.54296875" bestFit="1" customWidth="1"/>
    <col min="15" max="15" width="11.7265625" bestFit="1" customWidth="1"/>
    <col min="16" max="17" width="9.54296875" bestFit="1" customWidth="1"/>
  </cols>
  <sheetData>
    <row r="1" spans="1:11" x14ac:dyDescent="0.35">
      <c r="A1" t="s">
        <v>0</v>
      </c>
    </row>
    <row r="3" spans="1:11" x14ac:dyDescent="0.35">
      <c r="A3" s="36" t="s">
        <v>2</v>
      </c>
      <c r="B3" s="3" t="s">
        <v>3</v>
      </c>
    </row>
    <row r="4" spans="1:11" x14ac:dyDescent="0.35">
      <c r="A4" s="36"/>
      <c r="B4" s="2" t="s">
        <v>1</v>
      </c>
    </row>
    <row r="6" spans="1:11" x14ac:dyDescent="0.35">
      <c r="A6" t="s">
        <v>4</v>
      </c>
      <c r="B6" t="s">
        <v>5</v>
      </c>
    </row>
    <row r="7" spans="1:11" x14ac:dyDescent="0.35">
      <c r="B7" s="9" t="s">
        <v>6</v>
      </c>
      <c r="C7" s="10" t="s">
        <v>7</v>
      </c>
      <c r="D7" s="10"/>
      <c r="E7" s="10"/>
      <c r="F7" s="10"/>
      <c r="G7" s="10"/>
      <c r="H7" s="11"/>
    </row>
    <row r="8" spans="1:11" x14ac:dyDescent="0.35">
      <c r="B8" s="4" t="s">
        <v>8</v>
      </c>
      <c r="C8" s="5" t="s">
        <v>9</v>
      </c>
      <c r="D8" s="5"/>
      <c r="E8" s="5"/>
      <c r="F8" s="5"/>
      <c r="G8" s="5"/>
      <c r="H8" s="6"/>
    </row>
    <row r="9" spans="1:11" x14ac:dyDescent="0.35">
      <c r="B9" s="12"/>
      <c r="C9" t="s">
        <v>10</v>
      </c>
      <c r="H9" s="13"/>
    </row>
    <row r="10" spans="1:11" x14ac:dyDescent="0.35">
      <c r="B10" s="4" t="s">
        <v>11</v>
      </c>
      <c r="C10" s="5" t="s">
        <v>13</v>
      </c>
      <c r="D10" s="5"/>
      <c r="E10" s="5"/>
      <c r="F10" s="5"/>
      <c r="G10" s="5"/>
      <c r="H10" s="5"/>
      <c r="I10" s="5"/>
      <c r="J10" s="5"/>
      <c r="K10" s="6"/>
    </row>
    <row r="11" spans="1:11" x14ac:dyDescent="0.35">
      <c r="B11" s="7" t="s">
        <v>12</v>
      </c>
      <c r="C11" s="1"/>
      <c r="D11" s="1"/>
      <c r="E11" s="1"/>
      <c r="F11" s="1"/>
      <c r="G11" s="1"/>
      <c r="H11" s="1"/>
      <c r="I11" s="1"/>
      <c r="J11" s="1"/>
      <c r="K11" s="8"/>
    </row>
    <row r="12" spans="1:11" x14ac:dyDescent="0.35">
      <c r="B12" s="4" t="s">
        <v>14</v>
      </c>
      <c r="C12" s="5" t="s">
        <v>15</v>
      </c>
      <c r="D12" s="5"/>
      <c r="E12" s="5"/>
      <c r="F12" s="5"/>
      <c r="G12" s="5"/>
      <c r="H12" s="5"/>
      <c r="I12" s="5"/>
      <c r="J12" s="6"/>
    </row>
    <row r="13" spans="1:11" x14ac:dyDescent="0.35">
      <c r="B13" s="12"/>
      <c r="C13" s="14" t="s">
        <v>16</v>
      </c>
      <c r="D13" t="s">
        <v>17</v>
      </c>
      <c r="E13" s="14"/>
      <c r="J13" s="13"/>
    </row>
    <row r="14" spans="1:11" x14ac:dyDescent="0.35">
      <c r="B14" s="12"/>
      <c r="C14" t="s">
        <v>18</v>
      </c>
      <c r="D14" t="s">
        <v>19</v>
      </c>
      <c r="J14" s="13"/>
    </row>
    <row r="15" spans="1:11" x14ac:dyDescent="0.35">
      <c r="B15" s="12"/>
      <c r="C15" t="s">
        <v>20</v>
      </c>
      <c r="D15" t="s">
        <v>21</v>
      </c>
      <c r="J15" s="13"/>
    </row>
    <row r="16" spans="1:11" x14ac:dyDescent="0.35">
      <c r="B16" s="12"/>
      <c r="C16" t="s">
        <v>22</v>
      </c>
      <c r="D16" t="s">
        <v>23</v>
      </c>
      <c r="J16" s="13"/>
    </row>
    <row r="17" spans="1:21" x14ac:dyDescent="0.35">
      <c r="B17" s="7"/>
      <c r="C17" s="15" t="s">
        <v>33</v>
      </c>
      <c r="D17" s="1"/>
      <c r="E17" s="15"/>
      <c r="F17" s="1"/>
      <c r="G17" s="1"/>
      <c r="H17" s="1"/>
      <c r="I17" s="1"/>
      <c r="J17" s="8"/>
    </row>
    <row r="19" spans="1:21" x14ac:dyDescent="0.35">
      <c r="A19" t="s">
        <v>31</v>
      </c>
    </row>
    <row r="20" spans="1:21" x14ac:dyDescent="0.35">
      <c r="A20" t="s">
        <v>28</v>
      </c>
    </row>
    <row r="21" spans="1:21" x14ac:dyDescent="0.35">
      <c r="A21" t="s">
        <v>30</v>
      </c>
    </row>
    <row r="22" spans="1:21" x14ac:dyDescent="0.35">
      <c r="A22" t="s">
        <v>29</v>
      </c>
    </row>
    <row r="23" spans="1:21" x14ac:dyDescent="0.35">
      <c r="B23" t="s">
        <v>24</v>
      </c>
      <c r="C23" t="s">
        <v>25</v>
      </c>
      <c r="F23" t="s">
        <v>41</v>
      </c>
    </row>
    <row r="24" spans="1:21" x14ac:dyDescent="0.35">
      <c r="B24" t="s">
        <v>26</v>
      </c>
      <c r="C24" t="s">
        <v>25</v>
      </c>
    </row>
    <row r="25" spans="1:21" x14ac:dyDescent="0.35">
      <c r="B25" t="s">
        <v>27</v>
      </c>
      <c r="C25" t="s">
        <v>32</v>
      </c>
    </row>
    <row r="27" spans="1:21" x14ac:dyDescent="0.35">
      <c r="F27" t="s">
        <v>56</v>
      </c>
      <c r="J27" t="s">
        <v>43</v>
      </c>
    </row>
    <row r="28" spans="1:21" x14ac:dyDescent="0.35">
      <c r="A28" t="s">
        <v>34</v>
      </c>
      <c r="H28" t="s">
        <v>58</v>
      </c>
      <c r="M28" t="s">
        <v>75</v>
      </c>
    </row>
    <row r="29" spans="1:21" x14ac:dyDescent="0.35">
      <c r="A29" s="25" t="s">
        <v>35</v>
      </c>
      <c r="H29" t="s">
        <v>59</v>
      </c>
    </row>
    <row r="30" spans="1:21" x14ac:dyDescent="0.35">
      <c r="A30" s="22" t="s">
        <v>48</v>
      </c>
      <c r="B30" s="19"/>
      <c r="C30" s="19"/>
      <c r="D30" s="19"/>
      <c r="E30" s="19"/>
      <c r="F30" s="19"/>
      <c r="G30" s="19"/>
      <c r="H30" s="19"/>
      <c r="I30" s="19"/>
      <c r="J30" s="37" t="s">
        <v>52</v>
      </c>
      <c r="K30" s="38"/>
      <c r="L30" s="39"/>
      <c r="M30" s="19"/>
      <c r="N30" s="19"/>
      <c r="O30" s="19"/>
    </row>
    <row r="31" spans="1:21" s="16" customFormat="1" x14ac:dyDescent="0.35">
      <c r="A31" s="24" t="s">
        <v>36</v>
      </c>
      <c r="B31" s="24"/>
      <c r="C31" s="24" t="s">
        <v>53</v>
      </c>
      <c r="D31" s="24" t="s">
        <v>54</v>
      </c>
      <c r="E31" s="24" t="s">
        <v>60</v>
      </c>
      <c r="F31" s="24" t="s">
        <v>55</v>
      </c>
      <c r="G31" s="24" t="s">
        <v>46</v>
      </c>
      <c r="H31" s="24" t="s">
        <v>57</v>
      </c>
      <c r="I31" s="24" t="s">
        <v>61</v>
      </c>
      <c r="J31" s="24" t="s">
        <v>37</v>
      </c>
      <c r="K31" s="24" t="s">
        <v>38</v>
      </c>
      <c r="L31" s="24" t="s">
        <v>39</v>
      </c>
      <c r="M31" s="24" t="s">
        <v>40</v>
      </c>
      <c r="N31" s="24" t="s">
        <v>42</v>
      </c>
      <c r="O31" s="24" t="s">
        <v>44</v>
      </c>
      <c r="P31" s="16" t="s">
        <v>45</v>
      </c>
      <c r="U31" s="16" t="s">
        <v>76</v>
      </c>
    </row>
    <row r="32" spans="1:21" x14ac:dyDescent="0.35">
      <c r="A32" s="19" t="s">
        <v>47</v>
      </c>
      <c r="B32" s="19"/>
      <c r="C32" s="19">
        <v>25</v>
      </c>
      <c r="D32" s="19">
        <v>36</v>
      </c>
      <c r="E32" s="19">
        <v>3500</v>
      </c>
      <c r="F32" s="19">
        <v>400</v>
      </c>
      <c r="G32" s="23">
        <v>3410</v>
      </c>
      <c r="H32" s="19">
        <v>4</v>
      </c>
      <c r="I32" s="23">
        <v>15940</v>
      </c>
      <c r="J32" s="23">
        <v>3410</v>
      </c>
      <c r="K32" s="19">
        <v>0</v>
      </c>
      <c r="L32" s="19"/>
      <c r="M32" s="27">
        <v>3410</v>
      </c>
      <c r="N32" s="23">
        <v>3410</v>
      </c>
      <c r="O32" s="23">
        <v>109120</v>
      </c>
    </row>
    <row r="33" spans="1:21" x14ac:dyDescent="0.35">
      <c r="A33" s="19" t="s">
        <v>62</v>
      </c>
      <c r="B33" s="19"/>
      <c r="C33" s="19">
        <v>20</v>
      </c>
      <c r="D33" s="19">
        <v>36</v>
      </c>
      <c r="E33" s="19">
        <v>10000</v>
      </c>
      <c r="F33" s="19">
        <v>600</v>
      </c>
      <c r="G33" s="23">
        <v>2663</v>
      </c>
      <c r="H33" s="19">
        <v>15</v>
      </c>
      <c r="I33" s="23">
        <v>41130</v>
      </c>
      <c r="J33" s="23">
        <v>2478</v>
      </c>
      <c r="K33" s="23">
        <v>185</v>
      </c>
      <c r="L33" s="23"/>
      <c r="M33" s="27">
        <v>2478</v>
      </c>
      <c r="N33" s="23">
        <v>2663</v>
      </c>
      <c r="O33" s="23">
        <v>55738</v>
      </c>
      <c r="P33" s="17"/>
    </row>
    <row r="34" spans="1:21" x14ac:dyDescent="0.35">
      <c r="A34" s="19"/>
      <c r="B34" s="19"/>
      <c r="C34" s="19"/>
      <c r="D34" s="19"/>
      <c r="E34" s="19"/>
      <c r="F34" s="19"/>
      <c r="G34" s="23">
        <f>SUM(G32:G33)</f>
        <v>6073</v>
      </c>
      <c r="H34" s="19"/>
      <c r="I34" s="19"/>
      <c r="J34" s="23">
        <f t="shared" ref="J34:O34" si="0">SUM(J32:J33)</f>
        <v>5888</v>
      </c>
      <c r="K34" s="23">
        <f t="shared" si="0"/>
        <v>185</v>
      </c>
      <c r="L34" s="23">
        <f t="shared" si="0"/>
        <v>0</v>
      </c>
      <c r="M34" s="27">
        <f>SUM(M32:M33)</f>
        <v>5888</v>
      </c>
      <c r="N34" s="23">
        <f t="shared" si="0"/>
        <v>6073</v>
      </c>
      <c r="O34" s="23">
        <f t="shared" si="0"/>
        <v>164858</v>
      </c>
      <c r="P34" s="17"/>
    </row>
    <row r="36" spans="1:21" x14ac:dyDescent="0.35">
      <c r="A36" s="22" t="s">
        <v>49</v>
      </c>
      <c r="B36" s="19"/>
      <c r="C36" s="19"/>
      <c r="D36" s="19"/>
      <c r="E36" s="19"/>
      <c r="F36" s="19"/>
      <c r="G36" s="19"/>
      <c r="H36" s="19"/>
      <c r="I36" s="19"/>
      <c r="J36" s="19"/>
    </row>
    <row r="37" spans="1:21" x14ac:dyDescent="0.35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spans="1:21" s="17" customFormat="1" ht="14.25" customHeight="1" x14ac:dyDescent="0.35">
      <c r="A38" s="23" t="s">
        <v>63</v>
      </c>
      <c r="B38" s="23"/>
      <c r="C38" s="23">
        <v>25</v>
      </c>
      <c r="D38" s="23">
        <v>36</v>
      </c>
      <c r="E38" s="23"/>
      <c r="F38" s="23"/>
      <c r="G38" s="23">
        <v>3186</v>
      </c>
      <c r="H38" s="23">
        <v>36</v>
      </c>
      <c r="I38" s="23"/>
      <c r="J38" s="23">
        <v>3186</v>
      </c>
      <c r="O38" s="17">
        <v>0</v>
      </c>
    </row>
    <row r="40" spans="1:21" x14ac:dyDescent="0.35">
      <c r="A40" s="22" t="s">
        <v>50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 t="s">
        <v>16</v>
      </c>
      <c r="Q40" s="19" t="s">
        <v>64</v>
      </c>
      <c r="R40" s="19" t="s">
        <v>65</v>
      </c>
      <c r="S40" s="19" t="s">
        <v>66</v>
      </c>
      <c r="T40" s="19" t="s">
        <v>67</v>
      </c>
    </row>
    <row r="41" spans="1:21" x14ac:dyDescent="0.35">
      <c r="A41" s="22" t="s">
        <v>36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1" x14ac:dyDescent="0.35">
      <c r="A42" s="19" t="s">
        <v>51</v>
      </c>
      <c r="B42" s="19"/>
      <c r="C42" s="23">
        <v>20</v>
      </c>
      <c r="D42" s="23">
        <v>18</v>
      </c>
      <c r="E42" s="23"/>
      <c r="F42" s="23"/>
      <c r="G42" s="23">
        <v>5390</v>
      </c>
      <c r="H42" s="23">
        <v>9</v>
      </c>
      <c r="I42" s="23">
        <v>55810</v>
      </c>
      <c r="J42" s="19"/>
      <c r="K42" s="19"/>
      <c r="L42" s="23">
        <v>5390</v>
      </c>
      <c r="M42" s="23">
        <v>0</v>
      </c>
      <c r="N42" s="23">
        <v>0</v>
      </c>
      <c r="O42" s="23">
        <v>48510</v>
      </c>
      <c r="P42" s="23">
        <v>5390</v>
      </c>
      <c r="Q42" s="23">
        <v>5390</v>
      </c>
      <c r="R42" s="19"/>
      <c r="S42" s="19"/>
      <c r="T42" s="21">
        <f>SUM(P42:S42)</f>
        <v>10780</v>
      </c>
      <c r="U42" s="20"/>
    </row>
    <row r="43" spans="1:21" x14ac:dyDescent="0.35">
      <c r="A43" s="19" t="s">
        <v>68</v>
      </c>
      <c r="B43" s="19"/>
      <c r="C43" s="19">
        <v>5</v>
      </c>
      <c r="D43" s="19">
        <v>36</v>
      </c>
      <c r="E43" s="19"/>
      <c r="F43" s="19">
        <v>400</v>
      </c>
      <c r="G43" s="19"/>
      <c r="H43" s="19">
        <v>35</v>
      </c>
      <c r="I43" s="23">
        <v>126497</v>
      </c>
      <c r="J43" s="19"/>
      <c r="K43" s="19"/>
      <c r="L43" s="19"/>
      <c r="M43" s="19"/>
      <c r="N43" s="19"/>
      <c r="O43" s="23">
        <v>3527</v>
      </c>
      <c r="P43" s="19"/>
      <c r="Q43" s="19"/>
      <c r="R43" s="19"/>
      <c r="S43" s="19">
        <v>3527</v>
      </c>
      <c r="T43" s="21">
        <f>SUM(P43:S43)</f>
        <v>3527</v>
      </c>
    </row>
    <row r="44" spans="1:21" x14ac:dyDescent="0.35">
      <c r="A44" s="19"/>
      <c r="B44" s="19"/>
      <c r="C44" s="19"/>
      <c r="D44" s="19"/>
      <c r="E44" s="19"/>
      <c r="F44" s="19"/>
      <c r="G44" s="29">
        <f>SUM(G42:G43)</f>
        <v>5390</v>
      </c>
      <c r="H44" s="19"/>
      <c r="I44" s="19"/>
      <c r="J44" s="19"/>
      <c r="K44" s="19"/>
      <c r="L44" s="29">
        <f t="shared" ref="L44" si="1">SUM(L42:L43)</f>
        <v>5390</v>
      </c>
      <c r="M44" s="21">
        <f t="shared" ref="M44" si="2">SUM(M42:M43)</f>
        <v>0</v>
      </c>
      <c r="N44" s="21">
        <f t="shared" ref="N44" si="3">SUM(N42:N43)</f>
        <v>0</v>
      </c>
      <c r="O44" s="21">
        <f t="shared" ref="O44:S44" si="4">SUM(O42:O43)</f>
        <v>52037</v>
      </c>
      <c r="P44" s="29">
        <f t="shared" si="4"/>
        <v>5390</v>
      </c>
      <c r="Q44" s="29">
        <f t="shared" si="4"/>
        <v>5390</v>
      </c>
      <c r="R44" s="29">
        <f t="shared" si="4"/>
        <v>0</v>
      </c>
      <c r="S44" s="29">
        <f t="shared" si="4"/>
        <v>3527</v>
      </c>
      <c r="T44" s="29">
        <f>SUM(T42:T43)</f>
        <v>14307</v>
      </c>
      <c r="U44" s="20">
        <f>T44+G44</f>
        <v>19697</v>
      </c>
    </row>
    <row r="46" spans="1:21" x14ac:dyDescent="0.35">
      <c r="C46" s="19"/>
      <c r="D46" s="19"/>
      <c r="E46" s="19"/>
      <c r="F46" s="19"/>
      <c r="G46" s="19"/>
      <c r="H46" s="19"/>
      <c r="I46" s="19"/>
      <c r="J46" s="37" t="s">
        <v>52</v>
      </c>
      <c r="K46" s="38"/>
      <c r="L46" s="39"/>
      <c r="M46" s="19"/>
      <c r="N46" s="19"/>
      <c r="O46" s="19"/>
    </row>
    <row r="47" spans="1:21" x14ac:dyDescent="0.35">
      <c r="A47" s="26" t="s">
        <v>69</v>
      </c>
      <c r="B47" s="26"/>
      <c r="C47" s="24" t="s">
        <v>53</v>
      </c>
      <c r="D47" s="24" t="s">
        <v>54</v>
      </c>
      <c r="E47" s="24" t="s">
        <v>60</v>
      </c>
      <c r="F47" s="24" t="s">
        <v>55</v>
      </c>
      <c r="G47" s="24" t="s">
        <v>46</v>
      </c>
      <c r="H47" s="24" t="s">
        <v>57</v>
      </c>
      <c r="I47" s="24" t="s">
        <v>61</v>
      </c>
      <c r="J47" s="24" t="s">
        <v>37</v>
      </c>
      <c r="K47" s="24" t="s">
        <v>38</v>
      </c>
      <c r="L47" s="24" t="s">
        <v>39</v>
      </c>
      <c r="M47" s="24" t="s">
        <v>40</v>
      </c>
      <c r="N47" s="24" t="s">
        <v>42</v>
      </c>
      <c r="O47" s="24" t="s">
        <v>44</v>
      </c>
      <c r="P47" s="16" t="s">
        <v>45</v>
      </c>
    </row>
    <row r="48" spans="1:21" x14ac:dyDescent="0.35">
      <c r="A48" s="18" t="s">
        <v>6</v>
      </c>
    </row>
    <row r="49" spans="1:20" s="17" customFormat="1" x14ac:dyDescent="0.35">
      <c r="A49" s="17" t="s">
        <v>70</v>
      </c>
      <c r="C49" s="17">
        <v>27</v>
      </c>
      <c r="D49" s="17">
        <v>36</v>
      </c>
      <c r="E49" s="17">
        <v>7500</v>
      </c>
      <c r="F49" s="17">
        <v>400</v>
      </c>
      <c r="G49" s="17">
        <v>3758</v>
      </c>
      <c r="M49" s="17">
        <v>3758</v>
      </c>
      <c r="N49" s="17">
        <v>3758</v>
      </c>
      <c r="O49" s="17">
        <v>135288</v>
      </c>
    </row>
    <row r="50" spans="1:20" s="17" customFormat="1" x14ac:dyDescent="0.35">
      <c r="A50" s="17" t="s">
        <v>71</v>
      </c>
      <c r="C50" s="17">
        <v>22</v>
      </c>
      <c r="D50" s="17">
        <v>24</v>
      </c>
      <c r="E50" s="17">
        <v>3500</v>
      </c>
      <c r="F50" s="17">
        <v>400</v>
      </c>
      <c r="G50" s="17">
        <v>3708</v>
      </c>
      <c r="I50" s="17">
        <f>3500+3708-400</f>
        <v>6808</v>
      </c>
      <c r="K50" s="17">
        <v>3708</v>
      </c>
      <c r="M50" s="17">
        <v>0</v>
      </c>
      <c r="N50" s="17">
        <v>3708</v>
      </c>
      <c r="O50" s="17">
        <v>129780</v>
      </c>
    </row>
    <row r="51" spans="1:20" s="17" customFormat="1" x14ac:dyDescent="0.35">
      <c r="I51" s="23">
        <f>SUM(I49:I50)</f>
        <v>6808</v>
      </c>
      <c r="J51" s="23">
        <f t="shared" ref="J51:O51" si="5">SUM(J38:J50)</f>
        <v>3186</v>
      </c>
      <c r="K51" s="23">
        <f t="shared" si="5"/>
        <v>3708</v>
      </c>
      <c r="L51" s="23">
        <f t="shared" si="5"/>
        <v>10780</v>
      </c>
      <c r="M51" s="23">
        <f t="shared" si="5"/>
        <v>3758</v>
      </c>
      <c r="N51" s="23">
        <f t="shared" si="5"/>
        <v>7466</v>
      </c>
      <c r="O51" s="23">
        <f t="shared" si="5"/>
        <v>369142</v>
      </c>
    </row>
    <row r="52" spans="1:20" s="17" customFormat="1" x14ac:dyDescent="0.35"/>
    <row r="53" spans="1:20" s="17" customFormat="1" x14ac:dyDescent="0.35">
      <c r="A53" s="35" t="s">
        <v>72</v>
      </c>
    </row>
    <row r="54" spans="1:20" x14ac:dyDescent="0.35">
      <c r="A54" s="19" t="s">
        <v>47</v>
      </c>
      <c r="B54" s="19"/>
      <c r="C54" s="19">
        <v>25</v>
      </c>
      <c r="D54" s="19">
        <v>36</v>
      </c>
      <c r="E54" s="19">
        <v>3500</v>
      </c>
      <c r="F54" s="19">
        <v>400</v>
      </c>
      <c r="G54" s="23">
        <v>3410</v>
      </c>
      <c r="H54" s="19">
        <v>5</v>
      </c>
      <c r="I54" s="23">
        <f>15940+3410</f>
        <v>19350</v>
      </c>
      <c r="J54" s="23">
        <v>3410</v>
      </c>
      <c r="K54" s="19">
        <v>0</v>
      </c>
      <c r="L54" s="19"/>
      <c r="M54" s="23">
        <v>3410</v>
      </c>
      <c r="N54" s="23">
        <v>3410</v>
      </c>
      <c r="O54" s="23">
        <v>109120</v>
      </c>
    </row>
    <row r="55" spans="1:20" x14ac:dyDescent="0.35">
      <c r="A55" s="19" t="s">
        <v>62</v>
      </c>
      <c r="B55" s="19"/>
      <c r="C55" s="19">
        <v>20</v>
      </c>
      <c r="D55" s="19">
        <v>36</v>
      </c>
      <c r="E55" s="19">
        <v>10000</v>
      </c>
      <c r="F55" s="19">
        <v>600</v>
      </c>
      <c r="G55" s="23">
        <v>2663</v>
      </c>
      <c r="H55" s="19">
        <v>15</v>
      </c>
      <c r="I55" s="23">
        <f>41130+2663</f>
        <v>43793</v>
      </c>
      <c r="J55" s="23">
        <v>2478</v>
      </c>
      <c r="K55" s="23">
        <v>185</v>
      </c>
      <c r="L55" s="23"/>
      <c r="M55" s="23">
        <v>2478</v>
      </c>
      <c r="N55" s="23">
        <v>2663</v>
      </c>
      <c r="O55" s="23">
        <v>55738</v>
      </c>
      <c r="P55" s="17"/>
    </row>
    <row r="56" spans="1:20" x14ac:dyDescent="0.35">
      <c r="J56" s="28">
        <f t="shared" ref="J56:O56" si="6">SUM(J54:J55)</f>
        <v>5888</v>
      </c>
      <c r="K56" s="28">
        <f t="shared" si="6"/>
        <v>185</v>
      </c>
      <c r="L56" s="28">
        <f t="shared" si="6"/>
        <v>0</v>
      </c>
      <c r="M56" s="21">
        <f t="shared" si="6"/>
        <v>5888</v>
      </c>
      <c r="N56" s="21">
        <f t="shared" si="6"/>
        <v>6073</v>
      </c>
      <c r="O56" s="21">
        <f t="shared" si="6"/>
        <v>164858</v>
      </c>
    </row>
    <row r="57" spans="1:20" x14ac:dyDescent="0.35">
      <c r="J57" s="21"/>
      <c r="K57" s="21"/>
      <c r="L57" s="21"/>
      <c r="M57" s="21"/>
      <c r="N57" s="21"/>
      <c r="O57" s="21"/>
    </row>
    <row r="58" spans="1:20" x14ac:dyDescent="0.35">
      <c r="A58" s="22" t="s">
        <v>50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 t="s">
        <v>16</v>
      </c>
      <c r="Q58" s="19" t="s">
        <v>64</v>
      </c>
      <c r="R58" s="19" t="s">
        <v>65</v>
      </c>
      <c r="S58" s="19" t="s">
        <v>66</v>
      </c>
      <c r="T58" s="19" t="s">
        <v>67</v>
      </c>
    </row>
    <row r="59" spans="1:20" x14ac:dyDescent="0.35">
      <c r="A59" s="22" t="s">
        <v>36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x14ac:dyDescent="0.35">
      <c r="A60" s="19" t="s">
        <v>51</v>
      </c>
      <c r="B60" s="19"/>
      <c r="C60" s="23">
        <v>20</v>
      </c>
      <c r="D60" s="23">
        <v>18</v>
      </c>
      <c r="E60" s="23"/>
      <c r="F60" s="23"/>
      <c r="G60" s="23">
        <v>5390</v>
      </c>
      <c r="H60" s="23">
        <v>9</v>
      </c>
      <c r="I60" s="23">
        <v>55810</v>
      </c>
      <c r="J60" s="19"/>
      <c r="K60" s="19"/>
      <c r="L60" s="23">
        <v>5390</v>
      </c>
      <c r="M60" s="23">
        <v>0</v>
      </c>
      <c r="N60" s="23">
        <v>0</v>
      </c>
      <c r="O60" s="23">
        <f>48510-5390</f>
        <v>43120</v>
      </c>
      <c r="P60" s="23">
        <v>5390</v>
      </c>
      <c r="Q60" s="23">
        <v>5390</v>
      </c>
      <c r="R60" s="19"/>
      <c r="S60" s="19"/>
      <c r="T60" s="21">
        <f>SUM(P60:S60)</f>
        <v>10780</v>
      </c>
    </row>
    <row r="61" spans="1:20" x14ac:dyDescent="0.35">
      <c r="A61" s="19" t="s">
        <v>68</v>
      </c>
      <c r="B61" s="19"/>
      <c r="C61" s="19">
        <v>5</v>
      </c>
      <c r="D61" s="19">
        <v>36</v>
      </c>
      <c r="E61" s="19"/>
      <c r="F61" s="19">
        <v>400</v>
      </c>
      <c r="G61" s="19"/>
      <c r="H61" s="19">
        <v>35</v>
      </c>
      <c r="I61" s="23">
        <v>126497</v>
      </c>
      <c r="J61" s="19"/>
      <c r="K61" s="19"/>
      <c r="L61" s="19"/>
      <c r="M61" s="19"/>
      <c r="N61" s="19"/>
      <c r="O61" s="19">
        <v>3527</v>
      </c>
      <c r="P61" s="19"/>
      <c r="Q61" s="19"/>
      <c r="R61" s="19"/>
      <c r="S61" s="19">
        <v>3527</v>
      </c>
      <c r="T61" s="21">
        <f>SUM(P61:S61)</f>
        <v>3527</v>
      </c>
    </row>
    <row r="62" spans="1:20" x14ac:dyDescent="0.35">
      <c r="G62" s="21">
        <f t="shared" ref="G62:T62" si="7">SUM(G60:G61)</f>
        <v>5390</v>
      </c>
      <c r="H62" s="21"/>
      <c r="I62" s="21">
        <f t="shared" si="7"/>
        <v>182307</v>
      </c>
      <c r="J62" s="21">
        <f t="shared" si="7"/>
        <v>0</v>
      </c>
      <c r="K62" s="21">
        <f t="shared" si="7"/>
        <v>0</v>
      </c>
      <c r="L62" s="21">
        <f t="shared" si="7"/>
        <v>5390</v>
      </c>
      <c r="M62" s="21">
        <f t="shared" si="7"/>
        <v>0</v>
      </c>
      <c r="N62" s="21">
        <f t="shared" si="7"/>
        <v>0</v>
      </c>
      <c r="O62" s="21">
        <f t="shared" si="7"/>
        <v>46647</v>
      </c>
      <c r="P62" s="21">
        <f t="shared" si="7"/>
        <v>5390</v>
      </c>
      <c r="Q62" s="21">
        <f t="shared" si="7"/>
        <v>5390</v>
      </c>
      <c r="R62" s="21">
        <f t="shared" si="7"/>
        <v>0</v>
      </c>
      <c r="S62" s="21">
        <f t="shared" si="7"/>
        <v>3527</v>
      </c>
      <c r="T62" s="29">
        <f t="shared" si="7"/>
        <v>14307</v>
      </c>
    </row>
    <row r="64" spans="1:20" x14ac:dyDescent="0.35">
      <c r="G64" s="26"/>
      <c r="H64" s="26" t="s">
        <v>73</v>
      </c>
      <c r="I64" s="34" t="s">
        <v>74</v>
      </c>
      <c r="J64" s="26" t="s">
        <v>2</v>
      </c>
      <c r="L64" t="s">
        <v>77</v>
      </c>
    </row>
    <row r="65" spans="7:19" x14ac:dyDescent="0.35">
      <c r="G65" t="s">
        <v>37</v>
      </c>
      <c r="H65" s="20">
        <v>5888</v>
      </c>
      <c r="I65">
        <v>5888</v>
      </c>
      <c r="J65" s="31">
        <f>I65/H65</f>
        <v>1</v>
      </c>
    </row>
    <row r="66" spans="7:19" x14ac:dyDescent="0.35">
      <c r="G66" t="s">
        <v>39</v>
      </c>
      <c r="H66" s="20">
        <v>19697</v>
      </c>
      <c r="I66">
        <v>5390</v>
      </c>
      <c r="J66" s="31">
        <f>I66/H66</f>
        <v>0.2736457328527187</v>
      </c>
      <c r="L66" t="s">
        <v>78</v>
      </c>
      <c r="S66" s="30">
        <f>H66-I66</f>
        <v>14307</v>
      </c>
    </row>
    <row r="67" spans="7:19" x14ac:dyDescent="0.35">
      <c r="G67" s="32" t="s">
        <v>79</v>
      </c>
      <c r="H67" s="29">
        <f t="shared" ref="H67:I67" si="8">SUM(H65:H66)</f>
        <v>25585</v>
      </c>
      <c r="I67" s="29">
        <f t="shared" si="8"/>
        <v>11278</v>
      </c>
      <c r="J67" s="33">
        <f>I67/H67</f>
        <v>0.4408051592730115</v>
      </c>
    </row>
    <row r="68" spans="7:19" x14ac:dyDescent="0.35">
      <c r="J68" t="s">
        <v>80</v>
      </c>
    </row>
  </sheetData>
  <mergeCells count="3">
    <mergeCell ref="A3:A4"/>
    <mergeCell ref="J30:L30"/>
    <mergeCell ref="J46:L46"/>
  </mergeCells>
  <pageMargins left="0.7" right="0.7" top="0.75" bottom="0.75" header="0.3" footer="0.3"/>
  <pageSetup paperSize="9" orientation="portrait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noie</cp:lastModifiedBy>
  <dcterms:created xsi:type="dcterms:W3CDTF">2022-12-09T06:44:53Z</dcterms:created>
  <dcterms:modified xsi:type="dcterms:W3CDTF">2022-12-22T05:08:53Z</dcterms:modified>
</cp:coreProperties>
</file>